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5096c46d53c47/Documents/Desktop/swiggy-capstone/"/>
    </mc:Choice>
  </mc:AlternateContent>
  <xr:revisionPtr revIDLastSave="42" documentId="8_{B921BF64-F2C9-4AAB-8593-81500F073264}" xr6:coauthVersionLast="47" xr6:coauthVersionMax="47" xr10:uidLastSave="{FAFD8F68-E2A3-482F-9C94-54115466C82F}"/>
  <bookViews>
    <workbookView xWindow="11424" yWindow="0" windowWidth="11712" windowHeight="12336" firstSheet="2" activeTab="3" xr2:uid="{B9432837-F0B8-4FE1-9132-D516825B8564}"/>
  </bookViews>
  <sheets>
    <sheet name="Pivot Table" sheetId="5" r:id="rId1"/>
    <sheet name="Cuisine Summary" sheetId="6" r:id="rId2"/>
    <sheet name="Cuisine Targets" sheetId="1" r:id="rId3"/>
    <sheet name="Monthly Data" sheetId="2" r:id="rId4"/>
  </sheets>
  <definedNames>
    <definedName name="ExternalData_1" localSheetId="3" hidden="1">'Monthly Data'!$A$1:$E$35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2" i="6"/>
  <c r="C7" i="6"/>
  <c r="D7" i="6" s="1"/>
  <c r="C2" i="6"/>
  <c r="D2" i="6" s="1"/>
  <c r="C5" i="6"/>
  <c r="D5" i="6" s="1"/>
  <c r="C3" i="6"/>
  <c r="D3" i="6" s="1"/>
  <c r="C4" i="6"/>
  <c r="D4" i="6" s="1"/>
  <c r="C6" i="6"/>
  <c r="D6" i="6" s="1"/>
  <c r="B7" i="6"/>
  <c r="B6" i="6"/>
  <c r="B5" i="6"/>
  <c r="B4" i="6"/>
  <c r="B3" i="6"/>
  <c r="B2" i="6"/>
  <c r="E5" i="6" l="1"/>
  <c r="F5" i="6" s="1"/>
  <c r="E3" i="6"/>
  <c r="F3" i="6" s="1"/>
  <c r="E4" i="6"/>
  <c r="F4" i="6" s="1"/>
  <c r="F6" i="6"/>
  <c r="E6" i="6"/>
  <c r="F7" i="6"/>
  <c r="E7" i="6"/>
  <c r="E2" i="6"/>
  <c r="F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46ADF-5F87-4758-84B5-0EAE527CC564}" keepAlive="1" name="Query - monthly_cuisine_revenue" description="Connection to the 'monthly_cuisine_revenue' query in the workbook." type="5" refreshedVersion="8" background="1" saveData="1">
    <dbPr connection="Provider=Microsoft.Mashup.OleDb.1;Data Source=$Workbook$;Location=monthly_cuisine_revenue;Extended Properties=&quot;&quot;" command="SELECT * FROM [monthly_cuisine_revenue]"/>
  </connection>
</connections>
</file>

<file path=xl/sharedStrings.xml><?xml version="1.0" encoding="utf-8"?>
<sst xmlns="http://schemas.openxmlformats.org/spreadsheetml/2006/main" count="70" uniqueCount="22">
  <si>
    <t>cuisine</t>
  </si>
  <si>
    <t>month</t>
  </si>
  <si>
    <t>order_count</t>
  </si>
  <si>
    <t>total_revenue</t>
  </si>
  <si>
    <t>avg_revenue</t>
  </si>
  <si>
    <t>Chinese</t>
  </si>
  <si>
    <t>Desserts</t>
  </si>
  <si>
    <t>Fast Food</t>
  </si>
  <si>
    <t>Italian</t>
  </si>
  <si>
    <t>North Indian</t>
  </si>
  <si>
    <t>South Indian</t>
  </si>
  <si>
    <t>Cuisine</t>
  </si>
  <si>
    <t>Row Labels</t>
  </si>
  <si>
    <t>Grand Total</t>
  </si>
  <si>
    <t>Sum of order_count</t>
  </si>
  <si>
    <t>Sum of total_revenue</t>
  </si>
  <si>
    <t>Total Revenue</t>
  </si>
  <si>
    <t>Variance</t>
  </si>
  <si>
    <t>Percentage Variance</t>
  </si>
  <si>
    <t>Status</t>
  </si>
  <si>
    <t>Match</t>
  </si>
  <si>
    <t>target_revenue_inr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</si>
</sst>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chana Senthilnath" refreshedDate="46240.717224884262" createdVersion="8" refreshedVersion="8" minRefreshableVersion="3" recordCount="34" xr:uid="{2DF98E8C-2CDD-4AD6-BEDD-1B92B5EF0DEB}">
  <cacheSource type="worksheet">
    <worksheetSource name="monthly_cuisine_revenue"/>
  </cacheSource>
  <cacheFields count="5">
    <cacheField name="cuisine" numFmtId="0">
      <sharedItems count="6">
        <s v="Chinese"/>
        <s v="Desserts"/>
        <s v="Fast Food"/>
        <s v="Italian"/>
        <s v="North Indian"/>
        <s v="South Indian"/>
      </sharedItems>
    </cacheField>
    <cacheField name="month" numFmtId="14">
      <sharedItems containsSemiMixedTypes="0" containsNonDate="0" containsDate="1" containsString="0" minDate="2026-01-01T00:00:00" maxDate="2026-06-02T00:00:00"/>
    </cacheField>
    <cacheField name="order_count" numFmtId="0">
      <sharedItems containsSemiMixedTypes="0" containsString="0" containsNumber="1" containsInteger="1" minValue="1" maxValue="27"/>
    </cacheField>
    <cacheField name="total_revenue" numFmtId="0">
      <sharedItems containsSemiMixedTypes="0" containsString="0" containsNumber="1" containsInteger="1" minValue="1142" maxValue="41132"/>
    </cacheField>
    <cacheField name="avg_revenue" numFmtId="0">
      <sharedItems containsSemiMixedTypes="0" containsString="0" containsNumber="1" minValue="902" maxValue="1970.66666666666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d v="2026-01-01T00:00:00"/>
    <n v="16"/>
    <n v="24583"/>
    <n v="1536.4375"/>
  </r>
  <r>
    <x v="0"/>
    <d v="2026-02-01T00:00:00"/>
    <n v="16"/>
    <n v="20381"/>
    <n v="1273.8125"/>
  </r>
  <r>
    <x v="0"/>
    <d v="2026-03-01T00:00:00"/>
    <n v="16"/>
    <n v="20273"/>
    <n v="1267.0625"/>
  </r>
  <r>
    <x v="0"/>
    <d v="2026-04-01T00:00:00"/>
    <n v="15"/>
    <n v="18695"/>
    <n v="1246.3333333333301"/>
  </r>
  <r>
    <x v="0"/>
    <d v="2026-05-01T00:00:00"/>
    <n v="10"/>
    <n v="14677"/>
    <n v="1467.7"/>
  </r>
  <r>
    <x v="0"/>
    <d v="2026-06-01T00:00:00"/>
    <n v="18"/>
    <n v="29231"/>
    <n v="1623.94444444444"/>
  </r>
  <r>
    <x v="1"/>
    <d v="2026-01-01T00:00:00"/>
    <n v="3"/>
    <n v="5706"/>
    <n v="1902"/>
  </r>
  <r>
    <x v="1"/>
    <d v="2026-02-01T00:00:00"/>
    <n v="3"/>
    <n v="3953"/>
    <n v="1317.6666666666699"/>
  </r>
  <r>
    <x v="1"/>
    <d v="2026-03-01T00:00:00"/>
    <n v="2"/>
    <n v="2809"/>
    <n v="1404.5"/>
  </r>
  <r>
    <x v="1"/>
    <d v="2026-05-01T00:00:00"/>
    <n v="4"/>
    <n v="5633"/>
    <n v="1408.25"/>
  </r>
  <r>
    <x v="1"/>
    <d v="2026-06-01T00:00:00"/>
    <n v="1"/>
    <n v="1593"/>
    <n v="1593"/>
  </r>
  <r>
    <x v="2"/>
    <d v="2026-01-01T00:00:00"/>
    <n v="10"/>
    <n v="10499"/>
    <n v="1049.9000000000001"/>
  </r>
  <r>
    <x v="2"/>
    <d v="2026-02-01T00:00:00"/>
    <n v="5"/>
    <n v="6277"/>
    <n v="1255.4000000000001"/>
  </r>
  <r>
    <x v="2"/>
    <d v="2026-03-01T00:00:00"/>
    <n v="9"/>
    <n v="10495"/>
    <n v="1166.1111111111099"/>
  </r>
  <r>
    <x v="2"/>
    <d v="2026-04-01T00:00:00"/>
    <n v="8"/>
    <n v="14644"/>
    <n v="1830.5"/>
  </r>
  <r>
    <x v="2"/>
    <d v="2026-05-01T00:00:00"/>
    <n v="6"/>
    <n v="8546"/>
    <n v="1424.3333333333301"/>
  </r>
  <r>
    <x v="2"/>
    <d v="2026-06-01T00:00:00"/>
    <n v="4"/>
    <n v="4662"/>
    <n v="1165.5"/>
  </r>
  <r>
    <x v="3"/>
    <d v="2026-01-01T00:00:00"/>
    <n v="1"/>
    <n v="1716"/>
    <n v="1716"/>
  </r>
  <r>
    <x v="3"/>
    <d v="2026-02-01T00:00:00"/>
    <n v="1"/>
    <n v="1142"/>
    <n v="1142"/>
  </r>
  <r>
    <x v="3"/>
    <d v="2026-04-01T00:00:00"/>
    <n v="5"/>
    <n v="4510"/>
    <n v="902"/>
  </r>
  <r>
    <x v="3"/>
    <d v="2026-05-01T00:00:00"/>
    <n v="1"/>
    <n v="1455"/>
    <n v="1455"/>
  </r>
  <r>
    <x v="3"/>
    <d v="2026-06-01T00:00:00"/>
    <n v="3"/>
    <n v="5912"/>
    <n v="1970.6666666666699"/>
  </r>
  <r>
    <x v="4"/>
    <d v="2026-01-01T00:00:00"/>
    <n v="25"/>
    <n v="37468"/>
    <n v="1498.72"/>
  </r>
  <r>
    <x v="4"/>
    <d v="2026-02-01T00:00:00"/>
    <n v="26"/>
    <n v="38819"/>
    <n v="1493.0384615384601"/>
  </r>
  <r>
    <x v="4"/>
    <d v="2026-03-01T00:00:00"/>
    <n v="25"/>
    <n v="25803"/>
    <n v="1032.1199999999999"/>
  </r>
  <r>
    <x v="4"/>
    <d v="2026-04-01T00:00:00"/>
    <n v="27"/>
    <n v="39368"/>
    <n v="1458.07407407407"/>
  </r>
  <r>
    <x v="4"/>
    <d v="2026-05-01T00:00:00"/>
    <n v="24"/>
    <n v="33707"/>
    <n v="1404.4583333333301"/>
  </r>
  <r>
    <x v="4"/>
    <d v="2026-06-01T00:00:00"/>
    <n v="27"/>
    <n v="41132"/>
    <n v="1523.4074074074099"/>
  </r>
  <r>
    <x v="5"/>
    <d v="2026-01-01T00:00:00"/>
    <n v="3"/>
    <n v="3339"/>
    <n v="1113"/>
  </r>
  <r>
    <x v="5"/>
    <d v="2026-02-01T00:00:00"/>
    <n v="9"/>
    <n v="11754"/>
    <n v="1306"/>
  </r>
  <r>
    <x v="5"/>
    <d v="2026-03-01T00:00:00"/>
    <n v="10"/>
    <n v="14818"/>
    <n v="1481.8"/>
  </r>
  <r>
    <x v="5"/>
    <d v="2026-04-01T00:00:00"/>
    <n v="8"/>
    <n v="10542"/>
    <n v="1317.75"/>
  </r>
  <r>
    <x v="5"/>
    <d v="2026-05-01T00:00:00"/>
    <n v="7"/>
    <n v="10130"/>
    <n v="1447.1428571428601"/>
  </r>
  <r>
    <x v="5"/>
    <d v="2026-06-01T00:00:00"/>
    <n v="10"/>
    <n v="12834"/>
    <n v="1283.4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5AF67-11D3-49AA-84C9-DCAF3986B3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4" showAll="0"/>
    <pivotField dataField="1"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rder_count" fld="2" baseField="0" baseItem="0"/>
    <dataField name="Sum of total_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71E47E-806A-4E48-9823-1B46024D722B}" autoFormatId="16" applyNumberFormats="0" applyBorderFormats="0" applyFontFormats="0" applyPatternFormats="0" applyAlignmentFormats="0" applyWidthHeightFormats="0">
  <queryTableRefresh nextId="6">
    <queryTableFields count="5">
      <queryTableField id="1" name="cuisine" tableColumnId="1"/>
      <queryTableField id="2" name="month" tableColumnId="2"/>
      <queryTableField id="3" name="order_count" tableColumnId="3"/>
      <queryTableField id="4" name="total_revenue" tableColumnId="4"/>
      <queryTableField id="5" name="avg_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4F0B7-5DE9-432B-9531-4B9FAA89B332}" name="monthly_cuisine_revenue" displayName="monthly_cuisine_revenue" ref="A1:E35" tableType="queryTable" totalsRowShown="0">
  <autoFilter ref="A1:E35" xr:uid="{87F4F0B7-5DE9-432B-9531-4B9FAA89B332}"/>
  <tableColumns count="5">
    <tableColumn id="1" xr3:uid="{CE032CC5-5509-4A55-9CF5-7C1E798FA52B}" uniqueName="1" name="cuisine" queryTableFieldId="1" dataDxfId="1"/>
    <tableColumn id="2" xr3:uid="{D213F7B7-9A92-4314-97BA-C099A1EF66AC}" uniqueName="2" name="month" queryTableFieldId="2" dataDxfId="0"/>
    <tableColumn id="3" xr3:uid="{E8630E34-CA92-45CB-A97A-C05150D90D81}" uniqueName="3" name="order_count" queryTableFieldId="3"/>
    <tableColumn id="4" xr3:uid="{ECBB58C1-A278-4B78-9CBA-0B4D755E1224}" uniqueName="4" name="total_revenue" queryTableFieldId="4"/>
    <tableColumn id="5" xr3:uid="{43CFCE42-D1DD-4B34-B7E7-C87103F0BDDB}" uniqueName="5" name="avg_reven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04BB-2EB1-47D4-8C24-A0CB01074988}">
  <dimension ref="A3:C10"/>
  <sheetViews>
    <sheetView workbookViewId="0">
      <selection activeCell="D1" sqref="D1"/>
    </sheetView>
  </sheetViews>
  <sheetFormatPr defaultRowHeight="14.4" x14ac:dyDescent="0.3"/>
  <cols>
    <col min="1" max="1" width="12.44140625" bestFit="1" customWidth="1"/>
    <col min="2" max="2" width="17" bestFit="1" customWidth="1"/>
    <col min="3" max="3" width="18.44140625" bestFit="1" customWidth="1"/>
  </cols>
  <sheetData>
    <row r="3" spans="1:3" x14ac:dyDescent="0.3">
      <c r="A3" s="2" t="s">
        <v>12</v>
      </c>
      <c r="B3" t="s">
        <v>14</v>
      </c>
      <c r="C3" t="s">
        <v>15</v>
      </c>
    </row>
    <row r="4" spans="1:3" x14ac:dyDescent="0.3">
      <c r="A4" s="3" t="s">
        <v>5</v>
      </c>
      <c r="B4">
        <v>91</v>
      </c>
      <c r="C4">
        <v>127840</v>
      </c>
    </row>
    <row r="5" spans="1:3" x14ac:dyDescent="0.3">
      <c r="A5" s="3" t="s">
        <v>6</v>
      </c>
      <c r="B5">
        <v>13</v>
      </c>
      <c r="C5">
        <v>19694</v>
      </c>
    </row>
    <row r="6" spans="1:3" x14ac:dyDescent="0.3">
      <c r="A6" s="3" t="s">
        <v>7</v>
      </c>
      <c r="B6">
        <v>42</v>
      </c>
      <c r="C6">
        <v>55123</v>
      </c>
    </row>
    <row r="7" spans="1:3" x14ac:dyDescent="0.3">
      <c r="A7" s="3" t="s">
        <v>8</v>
      </c>
      <c r="B7">
        <v>11</v>
      </c>
      <c r="C7">
        <v>14735</v>
      </c>
    </row>
    <row r="8" spans="1:3" x14ac:dyDescent="0.3">
      <c r="A8" s="3" t="s">
        <v>9</v>
      </c>
      <c r="B8">
        <v>154</v>
      </c>
      <c r="C8">
        <v>216297</v>
      </c>
    </row>
    <row r="9" spans="1:3" x14ac:dyDescent="0.3">
      <c r="A9" s="3" t="s">
        <v>10</v>
      </c>
      <c r="B9">
        <v>47</v>
      </c>
      <c r="C9">
        <v>63417</v>
      </c>
    </row>
    <row r="10" spans="1:3" x14ac:dyDescent="0.3">
      <c r="A10" s="3" t="s">
        <v>13</v>
      </c>
      <c r="B10">
        <v>358</v>
      </c>
      <c r="C10">
        <v>497106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9AE7-4067-47A6-AADA-14CAE4D94185}">
  <dimension ref="A1:G7"/>
  <sheetViews>
    <sheetView workbookViewId="0">
      <selection activeCell="G10" sqref="G10"/>
    </sheetView>
  </sheetViews>
  <sheetFormatPr defaultRowHeight="14.4" x14ac:dyDescent="0.3"/>
  <sheetData>
    <row r="1" spans="1:7" x14ac:dyDescent="0.3">
      <c r="A1" t="s">
        <v>11</v>
      </c>
      <c r="B1" t="s">
        <v>16</v>
      </c>
      <c r="C1" t="s">
        <v>21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s="4" t="s">
        <v>5</v>
      </c>
      <c r="B2">
        <f>GETPIVOTDATA("Sum of total_revenue",'Pivot Table'!$A$3,"cuisine","Chinese")</f>
        <v>127840</v>
      </c>
      <c r="C2">
        <f>VLOOKUP(A2,'Cuisine Targets'!$A$2:$B$7,2,FALSE)</f>
        <v>140000</v>
      </c>
      <c r="D2">
        <f>C2-B2</f>
        <v>12160</v>
      </c>
      <c r="E2">
        <f>((B2-C2)*100/C2)</f>
        <v>-8.6857142857142851</v>
      </c>
      <c r="F2" t="str">
        <f>IF(B2&gt;=C2,"Above Target",IF(E2&gt;=-15,"Below Target - Watch","Below Target - Critical"))</f>
        <v>Below Target - Watch</v>
      </c>
      <c r="G2" t="str">
        <f>IF(B2=B2,"Yes","No")</f>
        <v>Yes</v>
      </c>
    </row>
    <row r="3" spans="1:7" x14ac:dyDescent="0.3">
      <c r="A3" t="s">
        <v>6</v>
      </c>
      <c r="B3">
        <f>GETPIVOTDATA("Sum of total_revenue",'Pivot Table'!$A$3,"cuisine","Desserts")</f>
        <v>19694</v>
      </c>
      <c r="C3">
        <f>VLOOKUP(A3,'Cuisine Targets'!$A$2:$B$7,2,FALSE)</f>
        <v>25000</v>
      </c>
      <c r="D3">
        <f t="shared" ref="D3:D7" si="0">C3-B3</f>
        <v>5306</v>
      </c>
      <c r="E3">
        <f t="shared" ref="E3:E7" si="1">((B3-C3)*100/C3)</f>
        <v>-21.224</v>
      </c>
      <c r="F3" t="str">
        <f t="shared" ref="F3:F7" si="2">IF(B3&gt;=C3,"Above Target",IF(E3&gt;=-15,"Below Target - Watch","Below Target - Critical"))</f>
        <v>Below Target - Critical</v>
      </c>
      <c r="G3" t="str">
        <f t="shared" ref="G3:G7" si="3">IF(B3=B3,"Yes","No")</f>
        <v>Yes</v>
      </c>
    </row>
    <row r="4" spans="1:7" x14ac:dyDescent="0.3">
      <c r="A4" t="s">
        <v>7</v>
      </c>
      <c r="B4">
        <f>GETPIVOTDATA("Sum of total_revenue",'Pivot Table'!$A$3,"cuisine","Fast Food")</f>
        <v>55123</v>
      </c>
      <c r="C4">
        <f>VLOOKUP(A4,'Cuisine Targets'!$A$2:$B$7,2,FALSE)</f>
        <v>60000</v>
      </c>
      <c r="D4">
        <f t="shared" si="0"/>
        <v>4877</v>
      </c>
      <c r="E4">
        <f t="shared" si="1"/>
        <v>-8.1283333333333339</v>
      </c>
      <c r="F4" t="str">
        <f t="shared" si="2"/>
        <v>Below Target - Watch</v>
      </c>
      <c r="G4" t="str">
        <f t="shared" si="3"/>
        <v>Yes</v>
      </c>
    </row>
    <row r="5" spans="1:7" x14ac:dyDescent="0.3">
      <c r="A5" t="s">
        <v>8</v>
      </c>
      <c r="B5">
        <f>GETPIVOTDATA("Sum of total_revenue",'Pivot Table'!$A$3,"cuisine","Italian")</f>
        <v>14735</v>
      </c>
      <c r="C5">
        <f>VLOOKUP(A5,'Cuisine Targets'!$A$2:$B$7,2,FALSE)</f>
        <v>10000</v>
      </c>
      <c r="D5">
        <f t="shared" si="0"/>
        <v>-4735</v>
      </c>
      <c r="E5">
        <f t="shared" si="1"/>
        <v>47.35</v>
      </c>
      <c r="F5" t="str">
        <f t="shared" si="2"/>
        <v>Above Target</v>
      </c>
      <c r="G5" t="str">
        <f t="shared" si="3"/>
        <v>Yes</v>
      </c>
    </row>
    <row r="6" spans="1:7" x14ac:dyDescent="0.3">
      <c r="A6" t="s">
        <v>9</v>
      </c>
      <c r="B6">
        <f>GETPIVOTDATA("Sum of total_revenue",'Pivot Table'!$A$3,"cuisine","North Indian")</f>
        <v>216297</v>
      </c>
      <c r="C6">
        <f>VLOOKUP(A6,'Cuisine Targets'!$A$2:$B$7,2,FALSE)</f>
        <v>180000</v>
      </c>
      <c r="D6">
        <f t="shared" si="0"/>
        <v>-36297</v>
      </c>
      <c r="E6">
        <f t="shared" si="1"/>
        <v>20.164999999999999</v>
      </c>
      <c r="F6" t="str">
        <f t="shared" si="2"/>
        <v>Above Target</v>
      </c>
      <c r="G6" t="str">
        <f t="shared" si="3"/>
        <v>Yes</v>
      </c>
    </row>
    <row r="7" spans="1:7" x14ac:dyDescent="0.3">
      <c r="A7" t="s">
        <v>10</v>
      </c>
      <c r="B7">
        <f>GETPIVOTDATA("Sum of total_revenue",'Pivot Table'!$A$3,"cuisine","South Indian")</f>
        <v>63417</v>
      </c>
      <c r="C7">
        <f>VLOOKUP(A7,'Cuisine Targets'!$A$2:$B$7,2,FALSE)</f>
        <v>50000</v>
      </c>
      <c r="D7">
        <f t="shared" si="0"/>
        <v>-13417</v>
      </c>
      <c r="E7">
        <f t="shared" si="1"/>
        <v>26.834</v>
      </c>
      <c r="F7" t="str">
        <f t="shared" si="2"/>
        <v>Above Target</v>
      </c>
      <c r="G7" t="str">
        <f t="shared" si="3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9C28-9AC2-45BE-B666-D8553753472D}">
  <dimension ref="A1:B7"/>
  <sheetViews>
    <sheetView workbookViewId="0">
      <selection activeCell="B10" sqref="B10"/>
    </sheetView>
  </sheetViews>
  <sheetFormatPr defaultRowHeight="14.4" x14ac:dyDescent="0.3"/>
  <sheetData>
    <row r="1" spans="1:2" x14ac:dyDescent="0.3">
      <c r="A1" t="s">
        <v>11</v>
      </c>
      <c r="B1" t="s">
        <v>21</v>
      </c>
    </row>
    <row r="2" spans="1:2" x14ac:dyDescent="0.3">
      <c r="A2" t="s">
        <v>5</v>
      </c>
      <c r="B2">
        <v>140000</v>
      </c>
    </row>
    <row r="3" spans="1:2" x14ac:dyDescent="0.3">
      <c r="A3" t="s">
        <v>9</v>
      </c>
      <c r="B3">
        <v>180000</v>
      </c>
    </row>
    <row r="4" spans="1:2" x14ac:dyDescent="0.3">
      <c r="A4" t="s">
        <v>10</v>
      </c>
      <c r="B4">
        <v>50000</v>
      </c>
    </row>
    <row r="5" spans="1:2" x14ac:dyDescent="0.3">
      <c r="A5" t="s">
        <v>8</v>
      </c>
      <c r="B5">
        <v>10000</v>
      </c>
    </row>
    <row r="6" spans="1:2" x14ac:dyDescent="0.3">
      <c r="A6" t="s">
        <v>6</v>
      </c>
      <c r="B6">
        <v>25000</v>
      </c>
    </row>
    <row r="7" spans="1:2" x14ac:dyDescent="0.3">
      <c r="A7" t="s">
        <v>7</v>
      </c>
      <c r="B7"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57C4-2E66-4E61-9AC7-8ADB6348EBAD}">
  <dimension ref="A1:E35"/>
  <sheetViews>
    <sheetView tabSelected="1" workbookViewId="0">
      <selection activeCell="G1" sqref="G1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13.109375" bestFit="1" customWidth="1"/>
    <col min="4" max="4" width="14.44140625" bestFit="1" customWidth="1"/>
    <col min="5" max="5" width="1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46023</v>
      </c>
      <c r="C2">
        <v>16</v>
      </c>
      <c r="D2">
        <v>24583</v>
      </c>
      <c r="E2">
        <v>1536.4375</v>
      </c>
    </row>
    <row r="3" spans="1:5" x14ac:dyDescent="0.3">
      <c r="A3" t="s">
        <v>5</v>
      </c>
      <c r="B3" s="1">
        <v>46054</v>
      </c>
      <c r="C3">
        <v>16</v>
      </c>
      <c r="D3">
        <v>20381</v>
      </c>
      <c r="E3">
        <v>1273.8125</v>
      </c>
    </row>
    <row r="4" spans="1:5" x14ac:dyDescent="0.3">
      <c r="A4" t="s">
        <v>5</v>
      </c>
      <c r="B4" s="1">
        <v>46082</v>
      </c>
      <c r="C4">
        <v>16</v>
      </c>
      <c r="D4">
        <v>20273</v>
      </c>
      <c r="E4">
        <v>1267.0625</v>
      </c>
    </row>
    <row r="5" spans="1:5" x14ac:dyDescent="0.3">
      <c r="A5" t="s">
        <v>5</v>
      </c>
      <c r="B5" s="1">
        <v>46113</v>
      </c>
      <c r="C5">
        <v>15</v>
      </c>
      <c r="D5">
        <v>18695</v>
      </c>
      <c r="E5">
        <v>1246.3333333333301</v>
      </c>
    </row>
    <row r="6" spans="1:5" x14ac:dyDescent="0.3">
      <c r="A6" t="s">
        <v>5</v>
      </c>
      <c r="B6" s="1">
        <v>46143</v>
      </c>
      <c r="C6">
        <v>10</v>
      </c>
      <c r="D6">
        <v>14677</v>
      </c>
      <c r="E6">
        <v>1467.7</v>
      </c>
    </row>
    <row r="7" spans="1:5" x14ac:dyDescent="0.3">
      <c r="A7" t="s">
        <v>5</v>
      </c>
      <c r="B7" s="1">
        <v>46174</v>
      </c>
      <c r="C7">
        <v>18</v>
      </c>
      <c r="D7">
        <v>29231</v>
      </c>
      <c r="E7">
        <v>1623.94444444444</v>
      </c>
    </row>
    <row r="8" spans="1:5" x14ac:dyDescent="0.3">
      <c r="A8" t="s">
        <v>6</v>
      </c>
      <c r="B8" s="1">
        <v>46023</v>
      </c>
      <c r="C8">
        <v>3</v>
      </c>
      <c r="D8">
        <v>5706</v>
      </c>
      <c r="E8">
        <v>1902</v>
      </c>
    </row>
    <row r="9" spans="1:5" x14ac:dyDescent="0.3">
      <c r="A9" t="s">
        <v>6</v>
      </c>
      <c r="B9" s="1">
        <v>46054</v>
      </c>
      <c r="C9">
        <v>3</v>
      </c>
      <c r="D9">
        <v>3953</v>
      </c>
      <c r="E9">
        <v>1317.6666666666699</v>
      </c>
    </row>
    <row r="10" spans="1:5" x14ac:dyDescent="0.3">
      <c r="A10" t="s">
        <v>6</v>
      </c>
      <c r="B10" s="1">
        <v>46082</v>
      </c>
      <c r="C10">
        <v>2</v>
      </c>
      <c r="D10">
        <v>2809</v>
      </c>
      <c r="E10">
        <v>1404.5</v>
      </c>
    </row>
    <row r="11" spans="1:5" x14ac:dyDescent="0.3">
      <c r="A11" t="s">
        <v>6</v>
      </c>
      <c r="B11" s="1">
        <v>46143</v>
      </c>
      <c r="C11">
        <v>4</v>
      </c>
      <c r="D11">
        <v>5633</v>
      </c>
      <c r="E11">
        <v>1408.25</v>
      </c>
    </row>
    <row r="12" spans="1:5" x14ac:dyDescent="0.3">
      <c r="A12" t="s">
        <v>6</v>
      </c>
      <c r="B12" s="1">
        <v>46174</v>
      </c>
      <c r="C12">
        <v>1</v>
      </c>
      <c r="D12">
        <v>1593</v>
      </c>
      <c r="E12">
        <v>1593</v>
      </c>
    </row>
    <row r="13" spans="1:5" x14ac:dyDescent="0.3">
      <c r="A13" t="s">
        <v>7</v>
      </c>
      <c r="B13" s="1">
        <v>46023</v>
      </c>
      <c r="C13">
        <v>10</v>
      </c>
      <c r="D13">
        <v>10499</v>
      </c>
      <c r="E13">
        <v>1049.9000000000001</v>
      </c>
    </row>
    <row r="14" spans="1:5" x14ac:dyDescent="0.3">
      <c r="A14" t="s">
        <v>7</v>
      </c>
      <c r="B14" s="1">
        <v>46054</v>
      </c>
      <c r="C14">
        <v>5</v>
      </c>
      <c r="D14">
        <v>6277</v>
      </c>
      <c r="E14">
        <v>1255.4000000000001</v>
      </c>
    </row>
    <row r="15" spans="1:5" x14ac:dyDescent="0.3">
      <c r="A15" t="s">
        <v>7</v>
      </c>
      <c r="B15" s="1">
        <v>46082</v>
      </c>
      <c r="C15">
        <v>9</v>
      </c>
      <c r="D15">
        <v>10495</v>
      </c>
      <c r="E15">
        <v>1166.1111111111099</v>
      </c>
    </row>
    <row r="16" spans="1:5" x14ac:dyDescent="0.3">
      <c r="A16" t="s">
        <v>7</v>
      </c>
      <c r="B16" s="1">
        <v>46113</v>
      </c>
      <c r="C16">
        <v>8</v>
      </c>
      <c r="D16">
        <v>14644</v>
      </c>
      <c r="E16">
        <v>1830.5</v>
      </c>
    </row>
    <row r="17" spans="1:5" x14ac:dyDescent="0.3">
      <c r="A17" t="s">
        <v>7</v>
      </c>
      <c r="B17" s="1">
        <v>46143</v>
      </c>
      <c r="C17">
        <v>6</v>
      </c>
      <c r="D17">
        <v>8546</v>
      </c>
      <c r="E17">
        <v>1424.3333333333301</v>
      </c>
    </row>
    <row r="18" spans="1:5" x14ac:dyDescent="0.3">
      <c r="A18" t="s">
        <v>7</v>
      </c>
      <c r="B18" s="1">
        <v>46174</v>
      </c>
      <c r="C18">
        <v>4</v>
      </c>
      <c r="D18">
        <v>4662</v>
      </c>
      <c r="E18">
        <v>1165.5</v>
      </c>
    </row>
    <row r="19" spans="1:5" x14ac:dyDescent="0.3">
      <c r="A19" t="s">
        <v>8</v>
      </c>
      <c r="B19" s="1">
        <v>46023</v>
      </c>
      <c r="C19">
        <v>1</v>
      </c>
      <c r="D19">
        <v>1716</v>
      </c>
      <c r="E19">
        <v>1716</v>
      </c>
    </row>
    <row r="20" spans="1:5" x14ac:dyDescent="0.3">
      <c r="A20" t="s">
        <v>8</v>
      </c>
      <c r="B20" s="1">
        <v>46054</v>
      </c>
      <c r="C20">
        <v>1</v>
      </c>
      <c r="D20">
        <v>1142</v>
      </c>
      <c r="E20">
        <v>1142</v>
      </c>
    </row>
    <row r="21" spans="1:5" x14ac:dyDescent="0.3">
      <c r="A21" t="s">
        <v>8</v>
      </c>
      <c r="B21" s="1">
        <v>46113</v>
      </c>
      <c r="C21">
        <v>5</v>
      </c>
      <c r="D21">
        <v>4510</v>
      </c>
      <c r="E21">
        <v>902</v>
      </c>
    </row>
    <row r="22" spans="1:5" x14ac:dyDescent="0.3">
      <c r="A22" t="s">
        <v>8</v>
      </c>
      <c r="B22" s="1">
        <v>46143</v>
      </c>
      <c r="C22">
        <v>1</v>
      </c>
      <c r="D22">
        <v>1455</v>
      </c>
      <c r="E22">
        <v>1455</v>
      </c>
    </row>
    <row r="23" spans="1:5" x14ac:dyDescent="0.3">
      <c r="A23" t="s">
        <v>8</v>
      </c>
      <c r="B23" s="1">
        <v>46174</v>
      </c>
      <c r="C23">
        <v>3</v>
      </c>
      <c r="D23">
        <v>5912</v>
      </c>
      <c r="E23">
        <v>1970.6666666666699</v>
      </c>
    </row>
    <row r="24" spans="1:5" x14ac:dyDescent="0.3">
      <c r="A24" t="s">
        <v>9</v>
      </c>
      <c r="B24" s="1">
        <v>46023</v>
      </c>
      <c r="C24">
        <v>25</v>
      </c>
      <c r="D24">
        <v>37468</v>
      </c>
      <c r="E24">
        <v>1498.72</v>
      </c>
    </row>
    <row r="25" spans="1:5" x14ac:dyDescent="0.3">
      <c r="A25" t="s">
        <v>9</v>
      </c>
      <c r="B25" s="1">
        <v>46054</v>
      </c>
      <c r="C25">
        <v>26</v>
      </c>
      <c r="D25">
        <v>38819</v>
      </c>
      <c r="E25">
        <v>1493.0384615384601</v>
      </c>
    </row>
    <row r="26" spans="1:5" x14ac:dyDescent="0.3">
      <c r="A26" t="s">
        <v>9</v>
      </c>
      <c r="B26" s="1">
        <v>46082</v>
      </c>
      <c r="C26">
        <v>25</v>
      </c>
      <c r="D26">
        <v>25803</v>
      </c>
      <c r="E26">
        <v>1032.1199999999999</v>
      </c>
    </row>
    <row r="27" spans="1:5" x14ac:dyDescent="0.3">
      <c r="A27" t="s">
        <v>9</v>
      </c>
      <c r="B27" s="1">
        <v>46113</v>
      </c>
      <c r="C27">
        <v>27</v>
      </c>
      <c r="D27">
        <v>39368</v>
      </c>
      <c r="E27">
        <v>1458.07407407407</v>
      </c>
    </row>
    <row r="28" spans="1:5" x14ac:dyDescent="0.3">
      <c r="A28" t="s">
        <v>9</v>
      </c>
      <c r="B28" s="1">
        <v>46143</v>
      </c>
      <c r="C28">
        <v>24</v>
      </c>
      <c r="D28">
        <v>33707</v>
      </c>
      <c r="E28">
        <v>1404.4583333333301</v>
      </c>
    </row>
    <row r="29" spans="1:5" x14ac:dyDescent="0.3">
      <c r="A29" t="s">
        <v>9</v>
      </c>
      <c r="B29" s="1">
        <v>46174</v>
      </c>
      <c r="C29">
        <v>27</v>
      </c>
      <c r="D29">
        <v>41132</v>
      </c>
      <c r="E29">
        <v>1523.4074074074099</v>
      </c>
    </row>
    <row r="30" spans="1:5" x14ac:dyDescent="0.3">
      <c r="A30" t="s">
        <v>10</v>
      </c>
      <c r="B30" s="1">
        <v>46023</v>
      </c>
      <c r="C30">
        <v>3</v>
      </c>
      <c r="D30">
        <v>3339</v>
      </c>
      <c r="E30">
        <v>1113</v>
      </c>
    </row>
    <row r="31" spans="1:5" x14ac:dyDescent="0.3">
      <c r="A31" t="s">
        <v>10</v>
      </c>
      <c r="B31" s="1">
        <v>46054</v>
      </c>
      <c r="C31">
        <v>9</v>
      </c>
      <c r="D31">
        <v>11754</v>
      </c>
      <c r="E31">
        <v>1306</v>
      </c>
    </row>
    <row r="32" spans="1:5" x14ac:dyDescent="0.3">
      <c r="A32" t="s">
        <v>10</v>
      </c>
      <c r="B32" s="1">
        <v>46082</v>
      </c>
      <c r="C32">
        <v>10</v>
      </c>
      <c r="D32">
        <v>14818</v>
      </c>
      <c r="E32">
        <v>1481.8</v>
      </c>
    </row>
    <row r="33" spans="1:5" x14ac:dyDescent="0.3">
      <c r="A33" t="s">
        <v>10</v>
      </c>
      <c r="B33" s="1">
        <v>46113</v>
      </c>
      <c r="C33">
        <v>8</v>
      </c>
      <c r="D33">
        <v>10542</v>
      </c>
      <c r="E33">
        <v>1317.75</v>
      </c>
    </row>
    <row r="34" spans="1:5" x14ac:dyDescent="0.3">
      <c r="A34" t="s">
        <v>10</v>
      </c>
      <c r="B34" s="1">
        <v>46143</v>
      </c>
      <c r="C34">
        <v>7</v>
      </c>
      <c r="D34">
        <v>10130</v>
      </c>
      <c r="E34">
        <v>1447.1428571428601</v>
      </c>
    </row>
    <row r="35" spans="1:5" x14ac:dyDescent="0.3">
      <c r="A35" t="s">
        <v>10</v>
      </c>
      <c r="B35" s="1">
        <v>46174</v>
      </c>
      <c r="C35">
        <v>10</v>
      </c>
      <c r="D35">
        <v>12834</v>
      </c>
      <c r="E35">
        <v>1283.4000000000001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8A47E-35CD-403C-B8AB-60719ECA4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Cuisine Summary</vt:lpstr>
      <vt:lpstr>Cuisine Targets</vt:lpstr>
      <vt:lpstr>Monthly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Senthilnath</dc:creator>
  <cp:lastModifiedBy>Archana Senthilnath</cp:lastModifiedBy>
  <dcterms:created xsi:type="dcterms:W3CDTF">2026-08-06T10:48:25Z</dcterms:created>
  <dcterms:modified xsi:type="dcterms:W3CDTF">2026-08-09T12:31:53Z</dcterms:modified>
</cp:coreProperties>
</file>